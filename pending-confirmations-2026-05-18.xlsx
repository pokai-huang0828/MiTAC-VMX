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Confirm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'Pending Confirmations'!$A$1:$L$37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4E8C"/>
        <bgColor rgb="001E4E8C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Calibri"/>
        <b val="1"/>
        <color rgb="00C42F3C"/>
        <sz val="10"/>
      </font>
      <fill>
        <patternFill patternType="solid">
          <fgColor rgb="00FCE7E9"/>
          <bgColor rgb="00FCE7E9"/>
        </patternFill>
      </fill>
    </dxf>
    <dxf>
      <font>
        <name val="Calibri"/>
        <b val="1"/>
        <color rgb="00CA8A04"/>
        <sz val="10"/>
      </font>
      <fill>
        <patternFill patternType="solid">
          <fgColor rgb="00FDF1DC"/>
          <bgColor rgb="00FDF1DC"/>
        </patternFill>
      </fill>
    </dxf>
    <dxf>
      <font>
        <name val="Calibri"/>
        <b val="1"/>
        <color rgb="0016A34A"/>
        <sz val="10"/>
      </font>
      <fill>
        <patternFill patternType="solid">
          <fgColor rgb="00E7F7EE"/>
          <bgColor rgb="00E7F7EE"/>
        </patternFill>
      </fill>
    </dxf>
    <dxf>
      <fill>
        <patternFill patternType="solid">
          <fgColor rgb="00E7F7EE"/>
          <bgColor rgb="00E7F7EE"/>
        </patternFill>
      </fill>
    </dxf>
    <dxf>
      <fill>
        <patternFill patternType="solid">
          <fgColor rgb="00E8EEFB"/>
          <bgColor rgb="00E8EEFB"/>
        </patternFill>
      </fill>
    </dxf>
    <dxf>
      <fill>
        <patternFill patternType="solid">
          <fgColor rgb="00FDF1DC"/>
          <bgColor rgb="00FDF1DC"/>
        </patternFill>
      </fill>
    </dxf>
    <dxf>
      <fill>
        <patternFill patternType="solid">
          <fgColor rgb="00FCE7E9"/>
          <bgColor rgb="00FCE7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42" customWidth="1" min="4" max="4"/>
    <col width="24" customWidth="1" min="5" max="5"/>
    <col width="22" customWidth="1" min="6" max="6"/>
    <col width="18" customWidth="1" min="7" max="7"/>
    <col width="50" customWidth="1" min="8" max="8"/>
    <col width="10" customWidth="1" min="9" max="9"/>
    <col width="12" customWidth="1" min="10" max="10"/>
    <col width="60" customWidth="1" min="11" max="11"/>
    <col width="42" customWidth="1" min="12" max="12"/>
  </cols>
  <sheetData>
    <row r="1" ht="28" customHeight="1">
      <c r="A1" s="1" t="inlineStr">
        <is>
          <t>#</t>
        </is>
      </c>
      <c r="B1" s="1" t="inlineStr">
        <is>
          <t>影響</t>
        </is>
      </c>
      <c r="C1" s="1" t="inlineStr">
        <is>
          <t>類別</t>
        </is>
      </c>
      <c r="D1" s="1" t="inlineStr">
        <is>
          <t>主題</t>
        </is>
      </c>
      <c r="E1" s="1" t="inlineStr">
        <is>
          <t>卡在誰</t>
        </is>
      </c>
      <c r="F1" s="1" t="inlineStr">
        <is>
          <t>何時需要</t>
        </is>
      </c>
      <c r="G1" s="1" t="inlineStr">
        <is>
          <t>內部覆蓋</t>
        </is>
      </c>
      <c r="H1" s="1" t="inlineStr">
        <is>
          <t>答在哪</t>
        </is>
      </c>
      <c r="I1" s="1" t="inlineStr">
        <is>
          <t>狀態</t>
        </is>
      </c>
      <c r="J1" s="1" t="inlineStr">
        <is>
          <t>更新日期</t>
        </is>
      </c>
      <c r="K1" s="1" t="inlineStr">
        <is>
          <t>詳情</t>
        </is>
      </c>
      <c r="L1" s="1" t="inlineStr">
        <is>
          <t>來源檔</t>
        </is>
      </c>
    </row>
    <row r="2" ht="60" customHeight="1">
      <c r="A2" s="2" t="n">
        <v>1</v>
      </c>
      <c r="B2" s="2" t="inlineStr">
        <is>
          <t>High</t>
        </is>
      </c>
      <c r="C2" s="2" t="inlineStr">
        <is>
          <t>內部 pending</t>
        </is>
      </c>
      <c r="D2" s="2" t="inlineStr">
        <is>
          <t>VMX-7101 LDWS Improving (Server) 是否真的重掛 6/2 Fix Version</t>
        </is>
      </c>
      <c r="E2" s="2" t="inlineStr">
        <is>
          <t>Kenny + Jimmy</t>
        </is>
      </c>
      <c r="F2" s="2" t="inlineStr">
        <is>
          <t>2026-06-02</t>
        </is>
      </c>
      <c r="G2" s="2" t="inlineStr">
        <is>
          <t>🟡 部分覆蓋</t>
        </is>
      </c>
      <c r="H2" s="2" t="inlineStr">
        <is>
          <t>critical-facts-log.md L17 + Jira VMX-7101 (2026-05-14 校正)</t>
        </is>
      </c>
      <c r="I2" s="2" t="inlineStr"/>
      <c r="J2" s="2" t="inlineStr"/>
      <c r="K2" s="2" t="inlineStr">
        <is>
          <t>5/7 AI Weekly 講過暫緩,但 5/11 AI Weekly 重新掛 6/2。Jira transition 狀態需從票上重新確認,目前 NotebookLM 揭露 vs 票上實況有 gap。(2026-05-14 校正:正確票號是 VMX-7101 "LDWS Improving (Server)" @jimmy.jy.huang,非 VMX-7375 / 7325 [後者根本不存在]。VMX-7375 實為 Add Manual End Button @leo.tsai)</t>
        </is>
      </c>
      <c r="L2" s="2" t="inlineStr">
        <is>
          <t>knowledge/06_calibration-log/critical-facts-log.md</t>
        </is>
      </c>
    </row>
    <row r="3" ht="60" customHeight="1">
      <c r="A3" s="2" t="n">
        <v>2</v>
      </c>
      <c r="B3" s="2" t="inlineStr">
        <is>
          <t>High</t>
        </is>
      </c>
      <c r="C3" s="2" t="inlineStr">
        <is>
          <t>內部 pending</t>
        </is>
      </c>
      <c r="D3" s="2" t="inlineStr">
        <is>
          <t>6/2 三大 deliverable Regression Test Plan</t>
        </is>
      </c>
      <c r="E3" s="2" t="inlineStr">
        <is>
          <t>Righter/Richard (QA) + UI 團隊</t>
        </is>
      </c>
      <c r="F3" s="2" t="inlineStr">
        <is>
          <t>2026-06-02</t>
        </is>
      </c>
      <c r="G3" s="2" t="inlineStr">
        <is>
          <t>🔴 必須外問</t>
        </is>
      </c>
      <c r="H3" s="2" t="inlineStr">
        <is>
          <t>—</t>
        </is>
      </c>
      <c r="I3" s="2" t="inlineStr"/>
      <c r="J3" s="2" t="inlineStr"/>
      <c r="K3" s="2" t="inlineStr">
        <is>
          <t>6/2 同時上 Model 26 + 11P + V14 三個 model,Regression Bug 高風險。需跟 QA 擬 Regression Test Plan 鎖 Head 邏輯 + Model 26 雙重路徑;UI 團隊敲打哈欠開關 Figma 設計。</t>
        </is>
      </c>
      <c r="L3" s="2" t="inlineStr">
        <is>
          <t>knowledge/06_calibration-log/critical-facts-log.md</t>
        </is>
      </c>
    </row>
    <row r="4" ht="60" customHeight="1">
      <c r="A4" s="2" t="n">
        <v>3</v>
      </c>
      <c r="B4" s="2" t="inlineStr">
        <is>
          <t>High</t>
        </is>
      </c>
      <c r="C4" s="2" t="inlineStr">
        <is>
          <t>決策待定</t>
        </is>
      </c>
      <c r="D4" s="2" t="inlineStr">
        <is>
          <t>5/15 Beta 前置 — API 規格凍結</t>
        </is>
      </c>
      <c r="E4" s="2" t="inlineStr">
        <is>
          <t>Kenny + Cary/Elvis/Wendy</t>
        </is>
      </c>
      <c r="F4" s="2" t="inlineStr">
        <is>
          <t>2026-05-15</t>
        </is>
      </c>
      <c r="G4" s="2" t="inlineStr">
        <is>
          <t>🔵 NotebookLM 可挖</t>
        </is>
      </c>
      <c r="H4" s="2" t="inlineStr">
        <is>
          <t>5/10 MAU API sync 音檔</t>
        </is>
      </c>
      <c r="I4" s="2" t="inlineStr"/>
      <c r="J4" s="2" t="inlineStr"/>
      <c r="K4" s="2" t="inlineStr">
        <is>
          <t>外部 API/模組需在 5/15 前 ready。Kenny 對 Cary/Elvis/Wendy/MiTAC AU 的 commitment 都要在 5/15 前確認 API 規格凍結。</t>
        </is>
      </c>
      <c r="L4" s="2" t="inlineStr">
        <is>
          <t>knowledge/06_calibration-log/critical-facts-log.md</t>
        </is>
      </c>
    </row>
    <row r="5" ht="60" customHeight="1">
      <c r="A5" s="2" t="n">
        <v>6</v>
      </c>
      <c r="B5" s="2" t="inlineStr">
        <is>
          <t>High</t>
        </is>
      </c>
      <c r="C5" s="2" t="inlineStr">
        <is>
          <t>決策待定</t>
        </is>
      </c>
      <c r="D5" s="2" t="inlineStr">
        <is>
          <t>Master Portal Blurring config UI 路徑 — Brian QPR 後拍板</t>
        </is>
      </c>
      <c r="E5" s="2" t="inlineStr">
        <is>
          <t>Brian (QPR 後)</t>
        </is>
      </c>
      <c r="F5" s="2" t="inlineStr">
        <is>
          <t>本週內</t>
        </is>
      </c>
      <c r="G5" s="2" t="inlineStr">
        <is>
          <t>🟡 部分覆蓋</t>
        </is>
      </c>
      <c r="H5" s="2" t="inlineStr">
        <is>
          <t>connectsource-passenger-blurring.md L294 (Cary 已拍 Option B,等 Brian QPR)</t>
        </is>
      </c>
      <c r="I5" s="2" t="inlineStr"/>
      <c r="J5" s="2" t="inlineStr"/>
      <c r="K5" s="2" t="inlineStr">
        <is>
          <t>5/11 Cary 拍 Option B (Centralised at Master) 但仍待 Brian QPR 後 confirm 拍板。</t>
        </is>
      </c>
      <c r="L5" s="2" t="inlineStr">
        <is>
          <t>knowledge/06_calibration-log/critical-facts-log.md</t>
        </is>
      </c>
    </row>
    <row r="6" ht="60" customHeight="1">
      <c r="A6" s="2" t="n">
        <v>7</v>
      </c>
      <c r="B6" s="2" t="inlineStr">
        <is>
          <t>High</t>
        </is>
      </c>
      <c r="C6" s="2" t="inlineStr">
        <is>
          <t>內部 pending</t>
        </is>
      </c>
      <c r="D6" s="2" t="inlineStr">
        <is>
          <t>Blurring API endpoint 開放 — internal validation criteria + ETA</t>
        </is>
      </c>
      <c r="E6" s="2" t="inlineStr">
        <is>
          <t>Brian + Spencer</t>
        </is>
      </c>
      <c r="F6" s="2" t="inlineStr">
        <is>
          <t>Staging 6/30, Prod end of July</t>
        </is>
      </c>
      <c r="G6" s="2" t="inlineStr">
        <is>
          <t>🟡 部分覆蓋</t>
        </is>
      </c>
      <c r="H6" s="2" t="inlineStr">
        <is>
          <t>Jira VMX-7457 New 狀態</t>
        </is>
      </c>
      <c r="I6" s="2" t="inlineStr"/>
      <c r="J6" s="2" t="inlineStr"/>
      <c r="K6" s="2" t="inlineStr">
        <is>
          <t>即使 Brian 同意 share API doc,客戶仍不能 call API,因 endpoint 沒在現 VisionMax 環境 open。要 internal validation 完成才開。對內待動作:跟 Brian 確認 criteria + 預估 endpoint open 日期。2026-05-13 Azuga AI Weekly 揭露子線 — VMX-7471 dmsCamera null bug(mori.jhang 發現 VMX-6815 的 eventData&lt;-&gt;EventDataInfo 兩個 method 沒帶 dmsCamera 值,等 leo.tsai 修)。</t>
        </is>
      </c>
      <c r="L6" s="2" t="inlineStr">
        <is>
          <t>knowledge/06_calibration-log/critical-facts-log.md</t>
        </is>
      </c>
    </row>
    <row r="7" ht="60" customHeight="1">
      <c r="A7" s="2" t="n">
        <v>13</v>
      </c>
      <c r="B7" s="2" t="inlineStr">
        <is>
          <t>High</t>
        </is>
      </c>
      <c r="C7" s="2" t="inlineStr">
        <is>
          <t>客戶等回覆</t>
        </is>
      </c>
      <c r="D7" s="2" t="inlineStr">
        <is>
          <t>PS Vinicius 5/13 follow-up — install 校正後是否 OK</t>
        </is>
      </c>
      <c r="E7" s="2" t="inlineStr">
        <is>
          <t>Vinicius (Platform Science)</t>
        </is>
      </c>
      <c r="F7" s="2" t="inlineStr">
        <is>
          <t>本週觀察</t>
        </is>
      </c>
      <c r="G7" s="2" t="inlineStr">
        <is>
          <t>🔴 必須外問</t>
        </is>
      </c>
      <c r="H7" s="2" t="inlineStr">
        <is>
          <t>vmx-7404-tracking.md 僅記 Righter SOP 已給 (等客戶回)</t>
        </is>
      </c>
      <c r="I7" s="2" t="inlineStr"/>
      <c r="J7" s="2" t="inlineStr"/>
      <c r="K7" s="2" t="inlineStr">
        <is>
          <t>Righter 5/13 11:41 已給 install + 30 km/h drive on lane-markings SOP。若 install 校正 + drive 後仍 fail,升級成 Jira ticket 由 Kenny 領 root cause — 評估期重大 PM 表現機會。</t>
        </is>
      </c>
      <c r="L7" s="2" t="inlineStr">
        <is>
          <t>knowledge/06_calibration-log/vmx-7404-tracking.md</t>
        </is>
      </c>
    </row>
    <row r="8" ht="60" customHeight="1">
      <c r="A8" s="2" t="n">
        <v>20</v>
      </c>
      <c r="B8" s="2" t="inlineStr">
        <is>
          <t>High</t>
        </is>
      </c>
      <c r="C8" s="2" t="inlineStr">
        <is>
          <t>內部 pending</t>
        </is>
      </c>
      <c r="D8" s="2" t="inlineStr">
        <is>
          <t>6/2 Fix Version 五大 deliverable 對外口徑確認</t>
        </is>
      </c>
      <c r="E8" s="2" t="inlineStr">
        <is>
          <t>Jimmy / Jieli / Vincent / Jay / Brian</t>
        </is>
      </c>
      <c r="F8" s="2" t="inlineStr">
        <is>
          <t>2026-06-02</t>
        </is>
      </c>
      <c r="G8" s="2" t="inlineStr">
        <is>
          <t>🟡 部分覆蓋</t>
        </is>
      </c>
      <c r="H8" s="2" t="inlineStr">
        <is>
          <t>critical-facts-log.md 列三項 (LDWS + Lens Cover + Model 26)</t>
        </is>
      </c>
      <c r="I8" s="2" t="inlineStr"/>
      <c r="J8" s="2" t="inlineStr"/>
      <c r="K8" s="2" t="inlineStr">
        <is>
          <t>2026-05-13 Azuga AI Weekly 校正:從原本『三大 deliverable』擴大為『五大』:(1) LDWS API [VMX-7101] (2) Lens Cover 解耦 [HAWK-582+585]:移除車速 + 獨立於 DMS 校正 + 修 debounce (3) 新版 DMS Model 26 (4) Eye Stable Rate threshold 開放 [VMX-7309 + HAWK-551] (5) Camera Auto-Height 新演算法 [HAWK-501 後續單,Sebastian 開]。對內逐項確認 ETA + Jira fixVersion 是否都標 VisionMax_20260602。</t>
        </is>
      </c>
      <c r="L8" s="2" t="inlineStr">
        <is>
          <t>meetings/2026-05-13_azuga-ai-weekly.md</t>
        </is>
      </c>
    </row>
    <row r="9" ht="60" customHeight="1">
      <c r="A9" s="2" t="n">
        <v>31</v>
      </c>
      <c r="B9" s="2" t="inlineStr">
        <is>
          <t>High</t>
        </is>
      </c>
      <c r="C9" s="2" t="inlineStr">
        <is>
          <t>客戶等回覆</t>
        </is>
      </c>
      <c r="D9" s="2" t="inlineStr">
        <is>
          <t>Elvis cost mode 偏好 — on-demand vs always-on</t>
        </is>
      </c>
      <c r="E9" s="2" t="inlineStr">
        <is>
          <t>Cary / Elvis (馬來西亞客戶)</t>
        </is>
      </c>
      <c r="F9" s="2" t="inlineStr">
        <is>
          <t>本週</t>
        </is>
      </c>
      <c r="G9" s="2" t="inlineStr">
        <is>
          <t>🔴 必須外問</t>
        </is>
      </c>
      <c r="H9" s="2" t="inlineStr">
        <is>
          <t>等客戶回 (Elvis cost mode)</t>
        </is>
      </c>
      <c r="I9" s="2" t="inlineStr"/>
      <c r="J9" s="2" t="inlineStr"/>
      <c r="K9" s="2" t="inlineStr">
        <is>
          <t>5/13 Kenny v3 訊息送出後等 Elvis (cc Cary) 回覆客戶選 on-demand 還是 always-on cost model。Break-even 在 ~8x,on-demand 絕對賺 (~88% margin)。若客戶選 always-on 要跟 Brian 確認正式 quote。</t>
        </is>
      </c>
      <c r="L9" s="2" t="inlineStr">
        <is>
          <t>case-learning/connectsource-passenger-blurring.md</t>
        </is>
      </c>
    </row>
    <row r="10" ht="60" customHeight="1">
      <c r="A10" s="2" t="n">
        <v>36</v>
      </c>
      <c r="B10" s="2" t="inlineStr">
        <is>
          <t>High</t>
        </is>
      </c>
      <c r="C10" s="2" t="inlineStr">
        <is>
          <t>客戶等回覆</t>
        </is>
      </c>
      <c r="D10" s="2" t="inlineStr">
        <is>
          <t>Vinicius 設備報價 + 下單流程</t>
        </is>
      </c>
      <c r="E10" s="2" t="inlineStr">
        <is>
          <t>Conant / Paul (sales)</t>
        </is>
      </c>
      <c r="F10" s="2" t="inlineStr">
        <is>
          <t>盡快 (PO 時程)</t>
        </is>
      </c>
      <c r="G10" s="2" t="inlineStr">
        <is>
          <t>🔴 必須外問</t>
        </is>
      </c>
      <c r="H10" s="2" t="inlineStr">
        <is>
          <t>5/11 tier pricing 會議結果未記</t>
        </is>
      </c>
      <c r="I10" s="2" t="inlineStr"/>
      <c r="J10" s="2" t="inlineStr"/>
      <c r="K10" s="2" t="inlineStr">
        <is>
          <t>Vinicius 已二次催促 (4/29 + 5/4)。報價遲未提供拖延將影響 PO 時程。Conant/Paul 對接中,5/11 週一上午 tier pricing 會議。</t>
        </is>
      </c>
      <c r="L10" s="2" t="inlineStr">
        <is>
          <t>case-learning/vinicius-platform-science.md</t>
        </is>
      </c>
    </row>
    <row r="11" ht="60" customHeight="1">
      <c r="A11" s="2" t="n">
        <v>40</v>
      </c>
      <c r="B11" s="2" t="inlineStr">
        <is>
          <t>High</t>
        </is>
      </c>
      <c r="C11" s="2" t="inlineStr">
        <is>
          <t>決策待定</t>
        </is>
      </c>
      <c r="D11" s="2" t="inlineStr">
        <is>
          <t>Honeywell K220 + K265 tier pricing</t>
        </is>
      </c>
      <c r="E11" s="2" t="inlineStr">
        <is>
          <t>Stark / Paul</t>
        </is>
      </c>
      <c r="F11" s="2" t="inlineStr">
        <is>
          <t>5/11 上午</t>
        </is>
      </c>
      <c r="G11" s="2" t="inlineStr">
        <is>
          <t>🔴 必須外問</t>
        </is>
      </c>
      <c r="H11" s="2" t="inlineStr">
        <is>
          <t>5/11 上午會議結果未記</t>
        </is>
      </c>
      <c r="I11" s="2" t="inlineStr"/>
      <c r="J11" s="2" t="inlineStr"/>
      <c r="K11" s="2" t="inlineStr">
        <is>
          <t>客戶第一單 6K 要報價,定價人在 Stark/Paul。Kenny 不主導,但記下價格區間。週一上午會議討論。</t>
        </is>
      </c>
      <c r="L11" s="2" t="inlineStr">
        <is>
          <t>case-learning/honeywell-me-cdr-opportunity.md</t>
        </is>
      </c>
    </row>
    <row r="12" ht="60" customHeight="1">
      <c r="A12" s="2" t="n">
        <v>42</v>
      </c>
      <c r="B12" s="2" t="inlineStr">
        <is>
          <t>High</t>
        </is>
      </c>
      <c r="C12" s="2" t="inlineStr">
        <is>
          <t>內部 pending</t>
        </is>
      </c>
      <c r="D12" s="2" t="inlineStr">
        <is>
          <t>Honeywell 5 月 6K 第一單交付風險</t>
        </is>
      </c>
      <c r="E12" s="2" t="inlineStr">
        <is>
          <t>Kevin Yhwang + Brian</t>
        </is>
      </c>
      <c r="F12" s="2" t="inlineStr">
        <is>
          <t>5 月內</t>
        </is>
      </c>
      <c r="G12" s="2" t="inlineStr">
        <is>
          <t>🔴 必須外問</t>
        </is>
      </c>
      <c r="H12" s="2" t="inlineStr">
        <is>
          <t>庫存/SIM 配發</t>
        </is>
      </c>
      <c r="I12" s="2" t="inlineStr"/>
      <c r="J12" s="2" t="inlineStr"/>
      <c r="K12" s="2" t="inlineStr">
        <is>
          <t>庫存 / 產能 / SIM 配發節奏。Kevin Yhwang + Brian SIM 申請。</t>
        </is>
      </c>
      <c r="L12" s="2" t="inlineStr">
        <is>
          <t>case-learning/honeywell-me-cdr-opportunity.md</t>
        </is>
      </c>
    </row>
    <row r="13" ht="60" customHeight="1">
      <c r="A13" s="2" t="n">
        <v>45</v>
      </c>
      <c r="B13" s="2" t="inlineStr">
        <is>
          <t>High</t>
        </is>
      </c>
      <c r="C13" s="2" t="inlineStr">
        <is>
          <t>內部 pending</t>
        </is>
      </c>
      <c r="D13" s="2" t="inlineStr">
        <is>
          <t>VMX-7471 dmsCamera null bug(影響 Blurring 鏡頭識別)</t>
        </is>
      </c>
      <c r="E13" s="2" t="inlineStr">
        <is>
          <t>leo.tsai + Spencer</t>
        </is>
      </c>
      <c r="F13" s="2" t="inlineStr">
        <is>
          <t>盡快(影響 6/2 Blurring)</t>
        </is>
      </c>
      <c r="G13" s="2" t="inlineStr">
        <is>
          <t>🟡 部分覆蓋</t>
        </is>
      </c>
      <c r="H13" s="2" t="inlineStr">
        <is>
          <t>Jira VMX-7471 5/13 15:45 mori.jhang(bug 已紀錄 · 修復動作 pending leo.tsai)</t>
        </is>
      </c>
      <c r="I13" s="2" t="inlineStr">
        <is>
          <t>✅ Resolved 5/18</t>
        </is>
      </c>
      <c r="J13" s="2" t="inlineStr">
        <is>
          <t>2026-05-18</t>
        </is>
      </c>
      <c r="K13" s="2" t="inlineStr">
        <is>
          <t>2026-05-13 Azuga AI Weekly mori.jhang 揭露:VMX-6815 實作的 eventData &lt;-&gt; EventDataInfo 兩個 method 沒帶 dmsCamera 值,導致 Server 端收到的 dmsCamera 都是 null。影響 Blurring 對哪個鏡頭判斷(EMBEDDED / UVC / NONE 分辨不到)。leo.tsai 開了 VMX-7471 用 MQTT payload 解決,但需先修 VMX-6815 bug。 [2026-05-18: Closed,從 opened filter 移出]</t>
        </is>
      </c>
      <c r="L13" s="2" t="inlineStr">
        <is>
          <t>meetings/2026-05-13_azuga-ai-weekly.md</t>
        </is>
      </c>
    </row>
    <row r="14" ht="60" customHeight="1">
      <c r="A14" s="2" t="n">
        <v>8</v>
      </c>
      <c r="B14" s="2" t="inlineStr">
        <is>
          <t>Mid</t>
        </is>
      </c>
      <c r="C14" s="2" t="inlineStr">
        <is>
          <t>問題待問</t>
        </is>
      </c>
      <c r="D14" s="2" t="inlineStr">
        <is>
          <t>K165 完整 spec (chip / 鏡頭 / 算力)</t>
        </is>
      </c>
      <c r="E14" s="2" t="inlineStr">
        <is>
          <t>Mori</t>
        </is>
      </c>
      <c r="F14" s="2" t="inlineStr">
        <is>
          <t>(未知)</t>
        </is>
      </c>
      <c r="G14" s="2" t="inlineStr">
        <is>
          <t>🟡 部分覆蓋</t>
        </is>
      </c>
      <c r="H14" s="2" t="inlineStr">
        <is>
          <t>machines-spec.md L9-42 (有 tier 無 chip/算力)</t>
        </is>
      </c>
      <c r="I14" s="2" t="inlineStr"/>
      <c r="J14" s="2" t="inlineStr"/>
      <c r="K14" s="2" t="inlineStr">
        <is>
          <t>5/8 校正 K165 真實存在 (Vinicius 5/7 testing plan 揭露),是 single lens dashcam。之前 memory 以為沒有。待動作:跟 Mori 確認 K165 完整 spec + 為什麼之前 memory 說沒有。</t>
        </is>
      </c>
      <c r="L14" s="2" t="inlineStr">
        <is>
          <t>knowledge/06_calibration-log/critical-facts-log.md</t>
        </is>
      </c>
    </row>
    <row r="15" ht="60" customHeight="1">
      <c r="A15" s="2" t="n">
        <v>9</v>
      </c>
      <c r="B15" s="2" t="inlineStr">
        <is>
          <t>Mid</t>
        </is>
      </c>
      <c r="C15" s="2" t="inlineStr">
        <is>
          <t>問題待問</t>
        </is>
      </c>
      <c r="D15" s="2" t="inlineStr">
        <is>
          <t>Harsh Acceleration / Rollover G 值門檻</t>
        </is>
      </c>
      <c r="E15" s="2" t="inlineStr">
        <is>
          <t>Mori</t>
        </is>
      </c>
      <c r="F15" s="2" t="inlineStr">
        <is>
          <t>(未知)</t>
        </is>
      </c>
      <c r="G15" s="2" t="inlineStr">
        <is>
          <t>🔴 必須外問</t>
        </is>
      </c>
      <c r="H15" s="2" t="inlineStr">
        <is>
          <t>adas-dms-events.md L62-63 標 ⚠️ 待 Mori</t>
        </is>
      </c>
      <c r="I15" s="2" t="inlineStr"/>
      <c r="J15" s="2" t="inlineStr"/>
      <c r="K15" s="2" t="inlineStr">
        <is>
          <t>G-Sensor 事件數已校正為 6 種 (+ Harsh Acc + Rollover),但這 2 個新事件的 G 值門檻待 Mori 確認。</t>
        </is>
      </c>
      <c r="L15" s="2" t="inlineStr">
        <is>
          <t>knowledge/06_calibration-log/critical-facts-log.md</t>
        </is>
      </c>
    </row>
    <row r="16" ht="60" customHeight="1">
      <c r="A16" s="2" t="n">
        <v>12</v>
      </c>
      <c r="B16" s="2" t="inlineStr">
        <is>
          <t>Mid</t>
        </is>
      </c>
      <c r="C16" s="2" t="inlineStr">
        <is>
          <t>問題待問</t>
        </is>
      </c>
      <c r="D16" s="2" t="inlineStr">
        <is>
          <t>Face Not Found Issue 是否同 VMX-7404 根因</t>
        </is>
      </c>
      <c r="E16" s="2" t="inlineStr">
        <is>
          <t>Jimmy</t>
        </is>
      </c>
      <c r="F16" s="2" t="inlineStr">
        <is>
          <t>(未知)</t>
        </is>
      </c>
      <c r="G16" s="2" t="inlineStr">
        <is>
          <t>🔵 NotebookLM 可挖</t>
        </is>
      </c>
      <c r="H16" s="2" t="inlineStr">
        <is>
          <t>5/7 AI Weekly 音檔 (Head 邏輯)</t>
        </is>
      </c>
      <c r="I16" s="2" t="inlineStr"/>
      <c r="J16" s="2" t="inlineStr"/>
      <c r="K16" s="2" t="inlineStr">
        <is>
          <t>Coffee chat 找 Jimmy 確認。5/7 揭露要導入 Head 邏輯。</t>
        </is>
      </c>
      <c r="L16" s="2" t="inlineStr">
        <is>
          <t>knowledge/06_calibration-log/vmx-7404-tracking.md</t>
        </is>
      </c>
    </row>
    <row r="17" ht="60" customHeight="1">
      <c r="A17" s="2" t="n">
        <v>16</v>
      </c>
      <c r="B17" s="2" t="inlineStr">
        <is>
          <t>Mid</t>
        </is>
      </c>
      <c r="C17" s="2" t="inlineStr">
        <is>
          <t>客戶等回覆</t>
        </is>
      </c>
      <c r="D17" s="2" t="inlineStr">
        <is>
          <t>Vinicius JS Live View lib V1.0.4 測試結果</t>
        </is>
      </c>
      <c r="E17" s="2" t="inlineStr">
        <is>
          <t>Vinicius (Platform Science)</t>
        </is>
      </c>
      <c r="F17" s="2" t="inlineStr">
        <is>
          <t>(未知)</t>
        </is>
      </c>
      <c r="G17" s="2" t="inlineStr">
        <is>
          <t>🔴 必須外問</t>
        </is>
      </c>
      <c r="H17" s="2" t="inlineStr">
        <is>
          <t>等客戶回</t>
        </is>
      </c>
      <c r="I17" s="2" t="inlineStr"/>
      <c r="J17" s="2" t="inlineStr"/>
      <c r="K17" s="2" t="inlineStr">
        <is>
          <t>Vinicius 5/11 22:03 確認開始測試。等他測試後的結果回饋。</t>
        </is>
      </c>
      <c r="L17" s="2" t="inlineStr">
        <is>
          <t>weekly-summary/2026-05-12_afternoon-delta.md</t>
        </is>
      </c>
    </row>
    <row r="18" ht="60" customHeight="1">
      <c r="A18" s="2" t="n">
        <v>17</v>
      </c>
      <c r="B18" s="2" t="inlineStr">
        <is>
          <t>Mid</t>
        </is>
      </c>
      <c r="C18" s="2" t="inlineStr">
        <is>
          <t>內部 pending</t>
        </is>
      </c>
      <c r="D18" s="2" t="inlineStr">
        <is>
          <t>AI Weekly Sheet 自己工作項更新</t>
        </is>
      </c>
      <c r="E18" s="2" t="inlineStr">
        <is>
          <t>Kenny 自己</t>
        </is>
      </c>
      <c r="F18" s="2" t="inlineStr">
        <is>
          <t>每週循環</t>
        </is>
      </c>
      <c r="G18" s="2" t="inlineStr">
        <is>
          <t>🔴 必須外問</t>
        </is>
      </c>
      <c r="H18" s="2" t="inlineStr">
        <is>
          <t>Kenny 自身動作</t>
        </is>
      </c>
      <c r="I18" s="2" t="inlineStr"/>
      <c r="J18" s="2" t="inlineStr"/>
      <c r="K18" s="2" t="inlineStr">
        <is>
          <t>Jimmy 5/12 11:04 信要求每次會議前更新到 Google Sheet (1DKQByU7Z...)。每週循環會議都要做。</t>
        </is>
      </c>
      <c r="L18" s="2" t="inlineStr">
        <is>
          <t>weekly-summary/2026-05-12_afternoon-delta.md</t>
        </is>
      </c>
    </row>
    <row r="19" ht="60" customHeight="1">
      <c r="A19" s="2" t="n">
        <v>22</v>
      </c>
      <c r="B19" s="2" t="inlineStr">
        <is>
          <t>Mid</t>
        </is>
      </c>
      <c r="C19" s="2" t="inlineStr">
        <is>
          <t>內部 pending</t>
        </is>
      </c>
      <c r="D19" s="2" t="inlineStr">
        <is>
          <t>Honeywell MiddleEast CDR 5/11 內部會議結果補充</t>
        </is>
      </c>
      <c r="E19" s="2" t="inlineStr">
        <is>
          <t>Stark / Paul + Kenny 補記</t>
        </is>
      </c>
      <c r="F19" s="2" t="inlineStr">
        <is>
          <t>盡快 (5月 6K 第一單)</t>
        </is>
      </c>
      <c r="G19" s="2" t="inlineStr">
        <is>
          <t>🔴 必須外問</t>
        </is>
      </c>
      <c r="H19" s="2" t="inlineStr">
        <is>
          <t>Kenny 需補記會議結果</t>
        </is>
      </c>
      <c r="I19" s="2" t="inlineStr"/>
      <c r="J19" s="2" t="inlineStr"/>
      <c r="K19" s="2" t="inlineStr">
        <is>
          <t>已過了 5/11,需 Kenny 補充會議結果 (若有)。tier pricing 議題待 Stark/Paul 拍板。</t>
        </is>
      </c>
      <c r="L19" s="2" t="inlineStr">
        <is>
          <t>weekly-summary/2026-05-12_afternoon-delta.md</t>
        </is>
      </c>
    </row>
    <row r="20" ht="60" customHeight="1">
      <c r="A20" s="2" t="n">
        <v>25</v>
      </c>
      <c r="B20" s="2" t="inlineStr">
        <is>
          <t>Mid</t>
        </is>
      </c>
      <c r="C20" s="2" t="inlineStr">
        <is>
          <t>內部 pending</t>
        </is>
      </c>
      <c r="D20" s="2" t="inlineStr">
        <is>
          <t>Device-side YOLO Lane Detection 新 ticket 編號</t>
        </is>
      </c>
      <c r="E20" s="2" t="inlineStr">
        <is>
          <t>Brian / Jimmy</t>
        </is>
      </c>
      <c r="F20" s="2" t="inlineStr">
        <is>
          <t>(未知)</t>
        </is>
      </c>
      <c r="G20" s="2" t="inlineStr">
        <is>
          <t>🔵 NotebookLM 可挖</t>
        </is>
      </c>
      <c r="H20" s="2" t="inlineStr">
        <is>
          <t>5/7 AI Weekly 音檔 (暫緩決議,新 ticket 編號未記)</t>
        </is>
      </c>
      <c r="I20" s="2" t="inlineStr"/>
      <c r="J20" s="2" t="inlineStr"/>
      <c r="K20" s="2" t="inlineStr">
        <is>
          <t>5/7 AI weekly 決議 Pending 暫緩 (資源緊繃),但新 ticket 編號待釐清。何時重啟也未知。</t>
        </is>
      </c>
      <c r="L20" s="2" t="inlineStr">
        <is>
          <t>knowledge/06_calibration-log/roadmap-vs-internal.md</t>
        </is>
      </c>
    </row>
    <row r="21" ht="60" customHeight="1">
      <c r="A21" s="2" t="n">
        <v>26</v>
      </c>
      <c r="B21" s="2" t="inlineStr">
        <is>
          <t>Mid</t>
        </is>
      </c>
      <c r="C21" s="2" t="inlineStr">
        <is>
          <t>問題待問</t>
        </is>
      </c>
      <c r="D21" s="2" t="inlineStr">
        <is>
          <t>Brian Coffee Chat 戰略級 4 問</t>
        </is>
      </c>
      <c r="E21" s="2" t="inlineStr">
        <is>
          <t>Brian (coffee chat 時間)</t>
        </is>
      </c>
      <c r="F21" s="2" t="inlineStr">
        <is>
          <t>(未知)</t>
        </is>
      </c>
      <c r="G21" s="2" t="inlineStr">
        <is>
          <t>🔴 必須外問</t>
        </is>
      </c>
      <c r="H21" s="2" t="inlineStr">
        <is>
          <t>coffee-chat-questions.md 已備齊問題</t>
        </is>
      </c>
      <c r="I21" s="2" t="inlineStr"/>
      <c r="J21" s="2" t="inlineStr"/>
      <c r="K21" s="2" t="inlineStr">
        <is>
          <t>(1) VMX/BMS 同步具體 milestone 6 個月內;(2) Pro/Suspend 完整定價;(3) Roadmap vs Sheet 同步機制;(4) HDFE beta 模式形式。</t>
        </is>
      </c>
      <c r="L21" s="2" t="inlineStr">
        <is>
          <t>knowledge/02_organization-map/coffee-chat-questions.md</t>
        </is>
      </c>
    </row>
    <row r="22" ht="60" customHeight="1">
      <c r="A22" s="2" t="n">
        <v>27</v>
      </c>
      <c r="B22" s="2" t="inlineStr">
        <is>
          <t>Mid</t>
        </is>
      </c>
      <c r="C22" s="2" t="inlineStr">
        <is>
          <t>問題待問</t>
        </is>
      </c>
      <c r="D22" s="2" t="inlineStr">
        <is>
          <t>Mori K-series chip 對應 + 200Hz G-Sensor 韌體可行性</t>
        </is>
      </c>
      <c r="E22" s="2" t="inlineStr">
        <is>
          <t>Mori</t>
        </is>
      </c>
      <c r="F22" s="2" t="inlineStr">
        <is>
          <t>(未知)</t>
        </is>
      </c>
      <c r="G22" s="2" t="inlineStr">
        <is>
          <t>🟡 部分覆蓋</t>
        </is>
      </c>
      <c r="H22" s="2" t="inlineStr">
        <is>
          <t>machines-spec.md L48 chip 欄全 ?,platform 已知 (QCS610/SDM450)</t>
        </is>
      </c>
      <c r="I22" s="2" t="inlineStr"/>
      <c r="J22" s="2" t="inlineStr"/>
      <c r="K22" s="2" t="inlineStr">
        <is>
          <t>(1) K145c/K220/K245/K245c/K265 各跑哪顆 Qualcomm chip;(2) Kenny K245 屬 Entry/Basic/Advanced 哪 tier;(3) 200Hz G-Sensor 韌體可行性 (Simon must-have);(4) K-series spec 對照表現成文件?</t>
        </is>
      </c>
      <c r="L22" s="2" t="inlineStr">
        <is>
          <t>knowledge/02_organization-map/coffee-chat-questions.md</t>
        </is>
      </c>
    </row>
    <row r="23" ht="60" customHeight="1">
      <c r="A23" s="2" t="n">
        <v>30</v>
      </c>
      <c r="B23" s="2" t="inlineStr">
        <is>
          <t>Mid</t>
        </is>
      </c>
      <c r="C23" s="2" t="inlineStr">
        <is>
          <t>問題待問</t>
        </is>
      </c>
      <c r="D23" s="2" t="inlineStr">
        <is>
          <t>Tony — Akamai CDN PG 失效進度 + OTA JSON purge</t>
        </is>
      </c>
      <c r="E23" s="2" t="inlineStr">
        <is>
          <t>Tony</t>
        </is>
      </c>
      <c r="F23" s="2" t="inlineStr">
        <is>
          <t>(未知)</t>
        </is>
      </c>
      <c r="G23" s="2" t="inlineStr">
        <is>
          <t>🔴 必須外問</t>
        </is>
      </c>
      <c r="H23" s="2" t="inlineStr">
        <is>
          <t>coffee-chat-questions.md L86-87 已列</t>
        </is>
      </c>
      <c r="I23" s="2" t="inlineStr"/>
      <c r="J23" s="2" t="inlineStr"/>
      <c r="K23" s="2" t="inlineStr">
        <is>
          <t>(1) Akamai CDN PG 失效進度 (Brian 已派工);(2) OTA JSON purge 機制可不可靠。對應 Brian #11 OTA 17 個月 ticket 真因。</t>
        </is>
      </c>
      <c r="L23" s="2" t="inlineStr">
        <is>
          <t>knowledge/02_organization-map/coffee-chat-questions.md</t>
        </is>
      </c>
    </row>
    <row r="24" ht="60" customHeight="1">
      <c r="A24" s="2" t="n">
        <v>32</v>
      </c>
      <c r="B24" s="2" t="inlineStr">
        <is>
          <t>Mid</t>
        </is>
      </c>
      <c r="C24" s="2" t="inlineStr">
        <is>
          <t>客戶等回覆</t>
        </is>
      </c>
      <c r="D24" s="2" t="inlineStr">
        <is>
          <t>Elvis download UX 偏好 — blurred-only default vs 雙版本可選</t>
        </is>
      </c>
      <c r="E24" s="2" t="inlineStr">
        <is>
          <t>Cary / Elvis</t>
        </is>
      </c>
      <c r="F24" s="2" t="inlineStr">
        <is>
          <t>本週</t>
        </is>
      </c>
      <c r="G24" s="2" t="inlineStr">
        <is>
          <t>🔴 必須外問</t>
        </is>
      </c>
      <c r="H24" s="2" t="inlineStr">
        <is>
          <t>等客戶回 (Elvis download UX)</t>
        </is>
      </c>
      <c r="I24" s="2" t="inlineStr"/>
      <c r="J24" s="2" t="inlineStr"/>
      <c r="K24" s="2" t="inlineStr">
        <is>
          <t>5/13 Step 4 校正後問客戶要 blurred-only default 還是雙版本可選。若選 blurred-only 要跟 Lucy 確認 GUI 調整可行性 + 加入 VMX-7458 scope。</t>
        </is>
      </c>
      <c r="L24" s="2" t="inlineStr">
        <is>
          <t>case-learning/connectsource-passenger-blurring.md</t>
        </is>
      </c>
    </row>
    <row r="25" ht="60" customHeight="1">
      <c r="A25" s="2" t="n">
        <v>33</v>
      </c>
      <c r="B25" s="2" t="inlineStr">
        <is>
          <t>Mid</t>
        </is>
      </c>
      <c r="C25" s="2" t="inlineStr">
        <is>
          <t>內部 pending</t>
        </is>
      </c>
      <c r="D25" s="2" t="inlineStr">
        <is>
          <t>Spencer 確認 MiTAC AI compute 實際 cost scaling 倍數</t>
        </is>
      </c>
      <c r="E25" s="2" t="inlineStr">
        <is>
          <t>Spencer + Brian</t>
        </is>
      </c>
      <c r="F25" s="2" t="inlineStr">
        <is>
          <t>客戶選定 always-on 後</t>
        </is>
      </c>
      <c r="G25" s="2" t="inlineStr">
        <is>
          <t>🔴 必須外問</t>
        </is>
      </c>
      <c r="H25" s="2" t="inlineStr">
        <is>
          <t>connectsource case 提及但無數字</t>
        </is>
      </c>
      <c r="I25" s="2" t="inlineStr"/>
      <c r="J25" s="2" t="inlineStr"/>
      <c r="K25" s="2" t="inlineStr">
        <is>
          <t>內部用,不對外揭露。若 sensitivity 顯示 always-on 真的會虧,跟 Brian 對齊 always-on 加價方案 (per-device monthly fee?per-event charge?)。</t>
        </is>
      </c>
      <c r="L25" s="2" t="inlineStr">
        <is>
          <t>case-learning/connectsource-passenger-blurring.md</t>
        </is>
      </c>
    </row>
    <row r="26" ht="60" customHeight="1">
      <c r="A26" s="2" t="n">
        <v>35</v>
      </c>
      <c r="B26" s="2" t="inlineStr">
        <is>
          <t>Mid</t>
        </is>
      </c>
      <c r="C26" s="2" t="inlineStr">
        <is>
          <t>內部 pending</t>
        </is>
      </c>
      <c r="D26" s="2" t="inlineStr">
        <is>
          <t>K265 image 修正流程 — 等新 VisionMax sample 採購</t>
        </is>
      </c>
      <c r="E26" s="2" t="inlineStr">
        <is>
          <t>Conant / Paul (sample 採購)</t>
        </is>
      </c>
      <c r="F26" s="2" t="inlineStr">
        <is>
          <t>(未知)</t>
        </is>
      </c>
      <c r="G26" s="2" t="inlineStr">
        <is>
          <t>🟡 部分覆蓋</t>
        </is>
      </c>
      <c r="H26" s="2" t="inlineStr">
        <is>
          <t>vinicius-platform-science.md Righter 5/7 揭露 (等採購狀態)</t>
        </is>
      </c>
      <c r="I26" s="2" t="inlineStr"/>
      <c r="J26" s="2" t="inlineStr"/>
      <c r="K26" s="2" t="inlineStr">
        <is>
          <t>Righter 5/7 揭露 LM (Lightmetrics) 版不能 SD upgrade 到 VisionMax,後續策略改成「直接給 VisionMax sample」。等新 sample 採購。</t>
        </is>
      </c>
      <c r="L26" s="2" t="inlineStr">
        <is>
          <t>case-learning/vinicius-platform-science.md</t>
        </is>
      </c>
    </row>
    <row r="27" ht="60" customHeight="1">
      <c r="A27" s="2" t="n">
        <v>37</v>
      </c>
      <c r="B27" s="2" t="inlineStr">
        <is>
          <t>Mid</t>
        </is>
      </c>
      <c r="C27" s="2" t="inlineStr">
        <is>
          <t>問題待問</t>
        </is>
      </c>
      <c r="D27" s="2" t="inlineStr">
        <is>
          <t>PS K265 ADAS/DMS plan type 對應條件</t>
        </is>
      </c>
      <c r="E27" s="2" t="inlineStr">
        <is>
          <t>Brian / Conant</t>
        </is>
      </c>
      <c r="F27" s="2" t="inlineStr">
        <is>
          <t>(未知)</t>
        </is>
      </c>
      <c r="G27" s="2" t="inlineStr">
        <is>
          <t>🟡 部分覆蓋</t>
        </is>
      </c>
      <c r="H27" s="2" t="inlineStr">
        <is>
          <t>plan-types.md + vinicius case (推測 calibration 20km/h × 15s)</t>
        </is>
      </c>
      <c r="I27" s="2" t="inlineStr"/>
      <c r="J27" s="2" t="inlineStr"/>
      <c r="K27" s="2" t="inlineStr">
        <is>
          <t>Vinicius 5/8 反映 K265 ADAS/DMS 沒啟動。Righter 說 AI function OK。推測差在 plan type 沒對到 ADAS/DMS 啟用層級,或 DMS calibration 沒完成 (需 20 km/h × 15 sec)。</t>
        </is>
      </c>
      <c r="L27" s="2" t="inlineStr">
        <is>
          <t>case-learning/vinicius-platform-science.md</t>
        </is>
      </c>
    </row>
    <row r="28" ht="60" customHeight="1">
      <c r="A28" s="2" t="n">
        <v>39</v>
      </c>
      <c r="B28" s="2" t="inlineStr">
        <is>
          <t>Mid</t>
        </is>
      </c>
      <c r="C28" s="2" t="inlineStr">
        <is>
          <t>決策待定</t>
        </is>
      </c>
      <c r="D28" s="2" t="inlineStr">
        <is>
          <t>Honeywell white-label login logo 機制</t>
        </is>
      </c>
      <c r="E28" s="2" t="inlineStr">
        <is>
          <t>Brian (5/11 上午對齊)</t>
        </is>
      </c>
      <c r="F28" s="2" t="inlineStr">
        <is>
          <t>本週</t>
        </is>
      </c>
      <c r="G28" s="2" t="inlineStr">
        <is>
          <t>🟡 部分覆蓋</t>
        </is>
      </c>
      <c r="H28" s="2" t="inlineStr">
        <is>
          <t>honeywell-me-cdr-opportunity.md L57,73 標待確認</t>
        </is>
      </c>
      <c r="I28" s="2" t="inlineStr"/>
      <c r="J28" s="2" t="inlineStr"/>
      <c r="K28" s="2" t="inlineStr">
        <is>
          <t>KB 沒寫,不確定是 Master Portal 自助開關還是要 Spencer/Brian 後端改 config。5/11 上午 Brian 對齊。</t>
        </is>
      </c>
      <c r="L28" s="2" t="inlineStr">
        <is>
          <t>case-learning/honeywell-me-cdr-opportunity.md</t>
        </is>
      </c>
    </row>
    <row r="29" ht="60" customHeight="1">
      <c r="A29" s="2" t="n">
        <v>41</v>
      </c>
      <c r="B29" s="2" t="inlineStr">
        <is>
          <t>Mid</t>
        </is>
      </c>
      <c r="C29" s="2" t="inlineStr">
        <is>
          <t>內部 pending</t>
        </is>
      </c>
      <c r="D29" s="2" t="inlineStr">
        <is>
          <t>Honeywell 機殼貼 logo MOQ + 客製週期</t>
        </is>
      </c>
      <c r="E29" s="2" t="inlineStr">
        <is>
          <t>Kevin Yhwang (HW PM) + 機構</t>
        </is>
      </c>
      <c r="F29" s="2" t="inlineStr">
        <is>
          <t>(未知)</t>
        </is>
      </c>
      <c r="G29" s="2" t="inlineStr">
        <is>
          <t>🔴 必須外問</t>
        </is>
      </c>
      <c r="H29" s="2" t="inlineStr">
        <is>
          <t>機構/HW PM 動作</t>
        </is>
      </c>
      <c r="I29" s="2" t="inlineStr"/>
      <c r="J29" s="2" t="inlineStr"/>
      <c r="K29" s="2" t="inlineStr">
        <is>
          <t>PM/機構 評估機構殼上能否貼 Honeywell logo sticker (或更好做法),是否有 minimum order quantity / 客製週期。</t>
        </is>
      </c>
      <c r="L29" s="2" t="inlineStr">
        <is>
          <t>case-learning/honeywell-me-cdr-opportunity.md</t>
        </is>
      </c>
    </row>
    <row r="30" ht="60" customHeight="1">
      <c r="A30" s="2" t="n">
        <v>46</v>
      </c>
      <c r="B30" s="2" t="inlineStr">
        <is>
          <t>Mid</t>
        </is>
      </c>
      <c r="C30" s="2" t="inlineStr">
        <is>
          <t>內部 pending</t>
        </is>
      </c>
      <c r="D30" s="2" t="inlineStr">
        <is>
          <t>Sebastian 開 Camera Auto-Height 新單 — 票號待確認</t>
        </is>
      </c>
      <c r="E30" s="2" t="inlineStr">
        <is>
          <t>Sebastian (Webfleet) + Jay (Mitac)</t>
        </is>
      </c>
      <c r="F30" s="2" t="inlineStr">
        <is>
          <t>本週</t>
        </is>
      </c>
      <c r="G30" s="2" t="inlineStr">
        <is>
          <t>🔴 必須外問</t>
        </is>
      </c>
      <c r="H30" s="2" t="inlineStr">
        <is>
          <t>等 Sebastian 開新單(Mitac 端被動接票號)</t>
        </is>
      </c>
      <c r="I30" s="2" t="inlineStr"/>
      <c r="J30" s="2" t="inlineStr"/>
      <c r="K30" s="2" t="inlineStr">
        <is>
          <t>2026-05-13 Azuga AI Weekly 決議:Sebastian 關 HAWK-501 + 開新單追蹤 Auto-Height fix。Mitac 端 Jay 領演算法改善,6/2 release 驗證。新單票號要追,以便 Mitac 內部 mirror。</t>
        </is>
      </c>
      <c r="L30" s="2" t="inlineStr">
        <is>
          <t>meetings/2026-05-13_azuga-ai-weekly.md</t>
        </is>
      </c>
    </row>
    <row r="31" ht="60" customHeight="1">
      <c r="A31" s="2" t="n">
        <v>47</v>
      </c>
      <c r="B31" s="2" t="inlineStr">
        <is>
          <t>Mid</t>
        </is>
      </c>
      <c r="C31" s="2" t="inlineStr">
        <is>
          <t>內部 pending</t>
        </is>
      </c>
      <c r="D31" s="2" t="inlineStr">
        <is>
          <t>Azuga Eating/Drinking 去識別化影片可行性評估</t>
        </is>
      </c>
      <c r="E31" s="2" t="inlineStr">
        <is>
          <t>Eric + Vincent (Mitac)</t>
        </is>
      </c>
      <c r="F31" s="2" t="inlineStr">
        <is>
          <t>1 個月內</t>
        </is>
      </c>
      <c r="G31" s="2" t="inlineStr">
        <is>
          <t>🔴 必須外問</t>
        </is>
      </c>
      <c r="H31" s="2" t="inlineStr">
        <is>
          <t>Eric/Vincent 內部評估後回客戶</t>
        </is>
      </c>
      <c r="I31" s="2" t="inlineStr"/>
      <c r="J31" s="2" t="inlineStr"/>
      <c r="K31" s="2" t="inlineStr">
        <is>
          <t>2026-05-13 Azuga AI Weekly Azuga 主動提議:從事件庫提供『去識別化(看不到人臉)』的行車影片給 Mitac 訓練 Eating/Drinking 模型。Mitac 評估『看不到臉時,僅有水杯或食物的影像對 root cause 是否有實質幫助』。若可行,於 ticket 上回覆客戶索取。</t>
        </is>
      </c>
      <c r="L31" s="2" t="inlineStr">
        <is>
          <t>meetings/2026-05-13_azuga-ai-weekly.md</t>
        </is>
      </c>
    </row>
    <row r="32" ht="60" customHeight="1">
      <c r="A32" s="2" t="n">
        <v>18</v>
      </c>
      <c r="B32" s="2" t="inlineStr">
        <is>
          <t>Low</t>
        </is>
      </c>
      <c r="C32" s="2" t="inlineStr">
        <is>
          <t>內部 pending</t>
        </is>
      </c>
      <c r="D32" s="2" t="inlineStr">
        <is>
          <t>5/10 MAU API sync meeting note 還原</t>
        </is>
      </c>
      <c r="E32" s="2" t="inlineStr">
        <is>
          <t>Kenny 自己</t>
        </is>
      </c>
      <c r="F32" s="2" t="inlineStr">
        <is>
          <t>(未知)</t>
        </is>
      </c>
      <c r="G32" s="2" t="inlineStr">
        <is>
          <t>🔵 NotebookLM 可挖</t>
        </is>
      </c>
      <c r="H32" s="2" t="inlineStr">
        <is>
          <t>5/10 MAU API sync 音檔已存在,直接還原</t>
        </is>
      </c>
      <c r="I32" s="2" t="inlineStr"/>
      <c r="J32" s="2" t="inlineStr"/>
      <c r="K32" s="2" t="inlineStr">
        <is>
          <t>NotebookLM 有「5-10 Syncup with MAU for API questions」音檔,repo 沒對應 meeting note,需從音檔還原到 meetings/2026-05-10_mau-api-syncup.md。</t>
        </is>
      </c>
      <c r="L32" s="2" t="inlineStr">
        <is>
          <t>weekly-summary/2026-05-12_afternoon-delta.md</t>
        </is>
      </c>
    </row>
    <row r="33" ht="60" customHeight="1">
      <c r="A33" s="2" t="n">
        <v>19</v>
      </c>
      <c r="B33" s="2" t="inlineStr">
        <is>
          <t>Low</t>
        </is>
      </c>
      <c r="C33" s="2" t="inlineStr">
        <is>
          <t>內部 pending</t>
        </is>
      </c>
      <c r="D33" s="2" t="inlineStr">
        <is>
          <t>5/11 AI Weekly meeting note 還原</t>
        </is>
      </c>
      <c r="E33" s="2" t="inlineStr">
        <is>
          <t>Kenny 自己</t>
        </is>
      </c>
      <c r="F33" s="2" t="inlineStr">
        <is>
          <t>(未知)</t>
        </is>
      </c>
      <c r="G33" s="2" t="inlineStr">
        <is>
          <t>🔵 NotebookLM 可挖</t>
        </is>
      </c>
      <c r="H33" s="2" t="inlineStr">
        <is>
          <t>5/11 AI Weekly 音檔 + ai-weekly-internal-roundup.md 已有 § 5/11</t>
        </is>
      </c>
      <c r="I33" s="2" t="inlineStr"/>
      <c r="J33" s="2" t="inlineStr"/>
      <c r="K33" s="2" t="inlineStr">
        <is>
          <t>從 NotebookLM 音檔還原到 meetings/2026-05-11_ai-weekly.md (series 檔已有 § 2026-05-11 但 standalone meeting note 待做)。</t>
        </is>
      </c>
      <c r="L33" s="2" t="inlineStr">
        <is>
          <t>weekly-summary/2026-05-12_afternoon-delta.md</t>
        </is>
      </c>
    </row>
    <row r="34" ht="60" customHeight="1">
      <c r="A34" s="2" t="n">
        <v>28</v>
      </c>
      <c r="B34" s="2" t="inlineStr">
        <is>
          <t>Low</t>
        </is>
      </c>
      <c r="C34" s="2" t="inlineStr">
        <is>
          <t>問題待問</t>
        </is>
      </c>
      <c r="D34" s="2" t="inlineStr">
        <is>
          <t>Jimmy event Sensitivity threshold 真實數字</t>
        </is>
      </c>
      <c r="E34" s="2" t="inlineStr">
        <is>
          <t>Jimmy</t>
        </is>
      </c>
      <c r="F34" s="2" t="inlineStr">
        <is>
          <t>(未知)</t>
        </is>
      </c>
      <c r="G34" s="2" t="inlineStr">
        <is>
          <t>🟡 部分覆蓋</t>
        </is>
      </c>
      <c r="H34" s="2" t="inlineStr">
        <is>
          <t>adas-dms-events.md L85 估計值表 + Jira HAWK-419/VMX-6837</t>
        </is>
      </c>
      <c r="I34" s="2" t="inlineStr"/>
      <c r="J34" s="2" t="inlineStr"/>
      <c r="K34" s="2" t="inlineStr">
        <is>
          <t>各 event 真實 Confidence threshold (memory 是估計值);Sensitivity dial Low/Med/High 真實 debounce/cooldown。</t>
        </is>
      </c>
      <c r="L34" s="2" t="inlineStr">
        <is>
          <t>knowledge/02_organization-map/coffee-chat-questions.md</t>
        </is>
      </c>
    </row>
    <row r="35" ht="60" customHeight="1">
      <c r="A35" s="2" t="n">
        <v>29</v>
      </c>
      <c r="B35" s="2" t="inlineStr">
        <is>
          <t>Low</t>
        </is>
      </c>
      <c r="C35" s="2" t="inlineStr">
        <is>
          <t>問題待問</t>
        </is>
      </c>
      <c r="D35" s="2" t="inlineStr">
        <is>
          <t>Lucy Portal 視覺 5 問</t>
        </is>
      </c>
      <c r="E35" s="2" t="inlineStr">
        <is>
          <t>Lucy</t>
        </is>
      </c>
      <c r="F35" s="2" t="inlineStr">
        <is>
          <t>(未知)</t>
        </is>
      </c>
      <c r="G35" s="2" t="inlineStr">
        <is>
          <t>🔴 必須外問</t>
        </is>
      </c>
      <c r="H35" s="2" t="inlineStr">
        <is>
          <t>coffee-chat-questions.md L63-69 已列 + Jira VMX-7194 Rollover UI New</t>
        </is>
      </c>
      <c r="I35" s="2" t="inlineStr"/>
      <c r="J35" s="2" t="inlineStr"/>
      <c r="K35" s="2" t="inlineStr">
        <is>
          <t>(1) 軌跡顏色含義 (藍/橘/紅);(2) Severity 等級 (Minor / Major / Critical);(3) 模糊功能 UI 設計時程;(4) Rollover UI 設計 (VMX-7194);(5) 舊 Playback 紅色預告 UI。</t>
        </is>
      </c>
      <c r="L35" s="2" t="inlineStr">
        <is>
          <t>knowledge/02_organization-map/coffee-chat-questions.md</t>
        </is>
      </c>
    </row>
    <row r="36" ht="60" customHeight="1">
      <c r="A36" s="2" t="n">
        <v>38</v>
      </c>
      <c r="B36" s="2" t="inlineStr">
        <is>
          <t>Low</t>
        </is>
      </c>
      <c r="C36" s="2" t="inlineStr">
        <is>
          <t>問題待問</t>
        </is>
      </c>
      <c r="D36" s="2" t="inlineStr">
        <is>
          <t>Camera-side video 不下載直接看 — VMX 支不支援</t>
        </is>
      </c>
      <c r="E36" s="2" t="inlineStr">
        <is>
          <t>Spencer / KB</t>
        </is>
      </c>
      <c r="F36" s="2" t="inlineStr">
        <is>
          <t>(未知)</t>
        </is>
      </c>
      <c r="G36" s="2" t="inlineStr">
        <is>
          <t>🔴 必須外問</t>
        </is>
      </c>
      <c r="H36" s="2" t="inlineStr">
        <is>
          <t>KB 未寫,Grep 未命中</t>
        </is>
      </c>
      <c r="I36" s="2" t="inlineStr"/>
      <c r="J36" s="2" t="inlineStr"/>
      <c r="K36" s="2" t="inlineStr">
        <is>
          <t>Vinicius 5/9 13:11 open question。KB 沒列,要查 Spencer。</t>
        </is>
      </c>
      <c r="L36" s="2" t="inlineStr">
        <is>
          <t>case-learning/vinicius-platform-science.md</t>
        </is>
      </c>
    </row>
    <row r="37" ht="60" customHeight="1">
      <c r="A37" s="2" t="n">
        <v>44</v>
      </c>
      <c r="B37" s="2" t="inlineStr">
        <is>
          <t>Low</t>
        </is>
      </c>
      <c r="C37" s="2" t="inlineStr">
        <is>
          <t>問題待問</t>
        </is>
      </c>
      <c r="D37" s="2" t="inlineStr">
        <is>
          <t>Wendy AU 端 Sheet/Roadmap doc 同步是否實際使用</t>
        </is>
      </c>
      <c r="E37" s="2" t="inlineStr">
        <is>
          <t>Wendy Hammond (MiTAC AU)</t>
        </is>
      </c>
      <c r="F37" s="2" t="inlineStr">
        <is>
          <t>(未知)</t>
        </is>
      </c>
      <c r="G37" s="2" t="inlineStr">
        <is>
          <t>🟡 部分覆蓋</t>
        </is>
      </c>
      <c r="H37" s="2" t="inlineStr">
        <is>
          <t>coffee-chat-questions.md L93-101 (Wendy 身份已解密)</t>
        </is>
      </c>
      <c r="I37" s="2" t="inlineStr"/>
      <c r="J37" s="2" t="inlineStr"/>
      <c r="K37" s="2" t="inlineStr">
        <is>
          <t>(1) AU 端 Sheet 同步她實際進去看了沒?頻率?(2) AI feature Roadmap doc Brian 給的版本 vs Kenny 5/7 整理版有沒有差?</t>
        </is>
      </c>
      <c r="L37" s="2" t="inlineStr">
        <is>
          <t>knowledge/02_organization-map/coffee-chat-questions.md</t>
        </is>
      </c>
    </row>
    <row r="38">
      <c r="A38" s="4" t="n">
        <v>48</v>
      </c>
      <c r="B38" s="4" t="inlineStr">
        <is>
          <t>High</t>
        </is>
      </c>
      <c r="C38" s="4" t="inlineStr">
        <is>
          <t>客戶 escalation</t>
        </is>
      </c>
      <c r="D38" s="4" t="inlineStr">
        <is>
          <t>HAWK-588 Azuga Manual Upload SLA — 5-10 min commitment vs 1 day+ reality</t>
        </is>
      </c>
      <c r="E38" s="4" t="inlineStr">
        <is>
          <t>spencer.su + Kenny PM</t>
        </is>
      </c>
      <c r="F38" s="4" t="inlineStr">
        <is>
          <t>本週(5/19-21 內部討論)</t>
        </is>
      </c>
      <c r="G38" s="4" t="inlineStr">
        <is>
          <t>🟢 已校正</t>
        </is>
      </c>
      <c r="H38" s="4" t="inlineStr">
        <is>
          <t>critical-facts-log.md § 2026-05-18 + weekly-summary/2026-05-18</t>
        </is>
      </c>
      <c r="I38" s="4" t="inlineStr">
        <is>
          <t>🟡 Open</t>
        </is>
      </c>
      <c r="J38" s="4" t="inlineStr">
        <is>
          <t>2026-05-18</t>
        </is>
      </c>
      <c r="K38" s="4" t="inlineStr">
        <is>
          <t>Utkarsh Patel (Azuga) 5/14 18:09 開票:Manual Upload 應 5-10 min,實測等了一整天還沒處理。spencer 5/15 16:01「I will follow up and get back on this」→ 等內部討論結果。Kenny PM 隨時準備介入。</t>
        </is>
      </c>
      <c r="L38" s="4" t="inlineStr">
        <is>
          <t>jira_data/jira_audit_report_2026-05-18.txt + HAWK-588 comments</t>
        </is>
      </c>
    </row>
    <row r="39">
      <c r="A39" s="4" t="n">
        <v>49</v>
      </c>
      <c r="B39" s="4" t="inlineStr">
        <is>
          <t>Medium</t>
        </is>
      </c>
      <c r="C39" s="4" t="inlineStr">
        <is>
          <t>內部 pending</t>
        </is>
      </c>
      <c r="D39" s="4" t="inlineStr">
        <is>
          <t>eric.h 公司 AI 相關專利 — 是否從 VMX 子題挖 IP</t>
        </is>
      </c>
      <c r="E39" s="4" t="inlineStr">
        <is>
          <t>lawrence.lee → Kenny (待 lawrence 回應)</t>
        </is>
      </c>
      <c r="F39" s="4" t="inlineStr">
        <is>
          <t>本週(台灣精品獎時程)</t>
        </is>
      </c>
      <c r="G39" s="4" t="inlineStr">
        <is>
          <t>🔵 待回覆</t>
        </is>
      </c>
      <c r="H39" s="4" t="inlineStr">
        <is>
          <t>—</t>
        </is>
      </c>
      <c r="I39" s="4" t="inlineStr">
        <is>
          <t>⏳ 等回應</t>
        </is>
      </c>
      <c r="J39" s="4" t="inlineStr">
        <is>
          <t>2026-05-18</t>
        </is>
      </c>
      <c r="K39" s="4" t="inlineStr">
        <is>
          <t>eric.h 5/15 16:19 寄 lawrence + CC Kenny / brian / shummy:準備台灣精品獎參賽資料,問是否有 AI 相關專利。Kenny 等 lawrence 回應後再判斷是否從 VisionMax/DMS/Blurring/Auto-Height 等子題提候選 IP。</t>
        </is>
      </c>
      <c r="L39" s="4" t="inlineStr">
        <is>
          <t>Outlook eric.h 5/15 16:19</t>
        </is>
      </c>
    </row>
    <row r="40">
      <c r="A40" s="4" t="n">
        <v>50</v>
      </c>
      <c r="B40" s="4" t="inlineStr">
        <is>
          <t>Medium</t>
        </is>
      </c>
      <c r="C40" s="4" t="inlineStr">
        <is>
          <t>內部 pending</t>
        </is>
      </c>
      <c r="D40" s="4" t="inlineStr">
        <is>
          <t>VMX-7480 Health Report Storage 壓縮 BIN 提案 — 影響範圍評估</t>
        </is>
      </c>
      <c r="E40" s="4" t="inlineStr">
        <is>
          <t>neil.kuo + DB owner</t>
        </is>
      </c>
      <c r="F40" s="4" t="inlineStr">
        <is>
          <t>(未訂)</t>
        </is>
      </c>
      <c r="G40" s="4" t="inlineStr">
        <is>
          <t>🟠 新提案</t>
        </is>
      </c>
      <c r="H40" s="4" t="inlineStr">
        <is>
          <t>—</t>
        </is>
      </c>
      <c r="I40" s="4" t="inlineStr">
        <is>
          <t>🟡 New</t>
        </is>
      </c>
      <c r="J40" s="4" t="inlineStr">
        <is>
          <t>2026-05-18</t>
        </is>
      </c>
      <c r="K40" s="4" t="inlineStr">
        <is>
          <t>neil.kuo 5/14 14:03 開單:[API] 優化健康報表儲存效率,採用壓縮 BIN 降低資料庫 IO。需確認影響的 query 範圍 + 解壓縮 CPU 成本 + migration 計劃。</t>
        </is>
      </c>
      <c r="L40" s="4" t="inlineStr">
        <is>
          <t>jira_data/jira_audit_report_2026-05-18.txt VMX-7480</t>
        </is>
      </c>
    </row>
    <row r="41">
      <c r="A41" s="4" t="n">
        <v>51</v>
      </c>
      <c r="B41" s="4" t="inlineStr">
        <is>
          <t>Medium</t>
        </is>
      </c>
      <c r="C41" s="4" t="inlineStr">
        <is>
          <t>客戶供貨</t>
        </is>
      </c>
      <c r="D41" s="4" t="inlineStr">
        <is>
          <t>VMX-7481 MAU AUTOSENSE K265×13 — Cary 5/15 req</t>
        </is>
      </c>
      <c r="E41" s="4" t="inlineStr">
        <is>
          <t>righter.song (provisioning)</t>
        </is>
      </c>
      <c r="F41" s="4" t="inlineStr">
        <is>
          <t>盡快</t>
        </is>
      </c>
      <c r="G41" s="4" t="inlineStr">
        <is>
          <t>🟢 已 ack</t>
        </is>
      </c>
      <c r="H41" s="4" t="inlineStr">
        <is>
          <t>jira VMX-7481</t>
        </is>
      </c>
      <c r="I41" s="4" t="inlineStr">
        <is>
          <t>🟡 New</t>
        </is>
      </c>
      <c r="J41" s="4" t="inlineStr">
        <is>
          <t>2026-05-18</t>
        </is>
      </c>
      <c r="K41" s="4" t="inlineStr">
        <is>
          <t>Cary 5/15 07:42 對 Righter 開單:provision AUTOSENSE K265×13。標準 MAU device provisioning workflow,待 righter 出貨。</t>
        </is>
      </c>
      <c r="L41" s="4" t="inlineStr">
        <is>
          <t>jira_data/jira_audit_report_2026-05-18.txt VMX-7481</t>
        </is>
      </c>
    </row>
    <row r="42">
      <c r="A42" s="4" t="n">
        <v>52</v>
      </c>
      <c r="B42" s="4" t="inlineStr">
        <is>
          <t>Medium</t>
        </is>
      </c>
      <c r="C42" s="4" t="inlineStr">
        <is>
          <t>校正待確認</t>
        </is>
      </c>
      <c r="D42" s="4" t="inlineStr">
        <is>
          <t>VMX-7470 ANR fix (MiAIServiceApp 1.4.43.3 + SdkMiAIService 1.4.44 / build 11.2.27.7) 是否已 rollout 給所有客戶</t>
        </is>
      </c>
      <c r="E42" s="4" t="inlineStr">
        <is>
          <t>jack.fl.chen + jay.qiu</t>
        </is>
      </c>
      <c r="F42" s="4" t="inlineStr">
        <is>
          <t>本週</t>
        </is>
      </c>
      <c r="G42" s="4" t="inlineStr">
        <is>
          <t>🟢 已校正</t>
        </is>
      </c>
      <c r="H42" s="4" t="inlineStr">
        <is>
          <t>critical-facts-log.md § 2026-05-18 + vmx-7404-tracking.md</t>
        </is>
      </c>
      <c r="I42" s="4" t="inlineStr">
        <is>
          <t>🟡 確認中</t>
        </is>
      </c>
      <c r="J42" s="4" t="inlineStr">
        <is>
          <t>2026-05-18</t>
        </is>
      </c>
      <c r="K42" s="4" t="inlineStr">
        <is>
          <t>jay.qiu 5/15 12:00 confirm VMX-7470 root cause = HAWK-574 (Race Condition + Dangling Pointer + Memory Corruption)。fix 已 build,但是否已 rollout 給 Webfleet/Azuga/PS 等客戶需要確認 — 若未 rollout 主動推 release (這是 VMX-7404 跨客戶 4 條證據的關鍵 systemic fix)。</t>
        </is>
      </c>
      <c r="L42" s="4" t="inlineStr">
        <is>
          <t>critical-facts-log.md + vmx-7404-tracking.md</t>
        </is>
      </c>
    </row>
  </sheetData>
  <autoFilter ref="A1:L37"/>
  <conditionalFormatting sqref="B2:B37">
    <cfRule type="cellIs" priority="1" operator="equal" dxfId="0" stopIfTrue="0">
      <formula>"High"</formula>
    </cfRule>
    <cfRule type="cellIs" priority="2" operator="equal" dxfId="1" stopIfTrue="0">
      <formula>"Mid"</formula>
    </cfRule>
    <cfRule type="cellIs" priority="3" operator="equal" dxfId="2" stopIfTrue="0">
      <formula>"Low"</formula>
    </cfRule>
  </conditionalFormatting>
  <conditionalFormatting sqref="G2:G37">
    <cfRule type="cellIs" priority="4" operator="containsText" dxfId="3">
      <formula>"已答"</formula>
    </cfRule>
    <cfRule type="cellIs" priority="5" operator="containsText" dxfId="4">
      <formula>"NotebookLM"</formula>
    </cfRule>
    <cfRule type="cellIs" priority="6" operator="containsText" dxfId="5">
      <formula>"部分覆蓋"</formula>
    </cfRule>
    <cfRule type="cellIs" priority="7" operator="containsText" dxfId="6">
      <formula>"必須外問"</formula>
    </cfRule>
  </conditionalFormatting>
  <conditionalFormatting sqref="I2:I37">
    <cfRule type="cellIs" priority="8" operator="equal" dxfId="3" stopIfTrue="0">
      <formula>"已確認"</formula>
    </cfRule>
    <cfRule type="cellIs" priority="9" operator="equal" dxfId="3" stopIfTrue="0">
      <formula>"已完成"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指標</t>
        </is>
      </c>
      <c r="B1" s="3" t="inlineStr">
        <is>
          <t>數量</t>
        </is>
      </c>
    </row>
    <row r="2">
      <c r="A2" t="inlineStr">
        <is>
          <t>總計（active,排除已答）</t>
        </is>
      </c>
      <c r="B2" t="n">
        <v>36</v>
      </c>
    </row>
    <row r="3">
      <c r="A3" t="inlineStr">
        <is>
          <t>已答（移出表外）</t>
        </is>
      </c>
      <c r="B3" t="n">
        <v>11</v>
      </c>
    </row>
    <row r="4">
      <c r="A4" t="inlineStr">
        <is>
          <t>High 影響</t>
        </is>
      </c>
      <c r="B4" t="n">
        <v>12</v>
      </c>
    </row>
    <row r="5">
      <c r="A5" t="inlineStr">
        <is>
          <t>Mid 影響</t>
        </is>
      </c>
      <c r="B5" t="n">
        <v>18</v>
      </c>
    </row>
    <row r="6">
      <c r="A6" t="inlineStr">
        <is>
          <t>Low 影響</t>
        </is>
      </c>
      <c r="B6" t="n">
        <v>6</v>
      </c>
    </row>
    <row r="8">
      <c r="A8" t="inlineStr">
        <is>
          <t>分類</t>
        </is>
      </c>
      <c r="B8" t="inlineStr">
        <is>
          <t>數量</t>
        </is>
      </c>
    </row>
    <row r="9">
      <c r="A9" t="inlineStr">
        <is>
          <t>內部 pending</t>
        </is>
      </c>
      <c r="B9" t="n">
        <v>16</v>
      </c>
    </row>
    <row r="10">
      <c r="A10" t="inlineStr">
        <is>
          <t>問題待問</t>
        </is>
      </c>
      <c r="B10" t="n">
        <v>11</v>
      </c>
    </row>
    <row r="11">
      <c r="A11" t="inlineStr">
        <is>
          <t>客戶等回覆</t>
        </is>
      </c>
      <c r="B11" t="n">
        <v>5</v>
      </c>
    </row>
    <row r="12">
      <c r="A12" t="inlineStr">
        <is>
          <t>決策待定</t>
        </is>
      </c>
      <c r="B12" t="n">
        <v>4</v>
      </c>
    </row>
    <row r="14">
      <c r="A14" t="inlineStr">
        <is>
          <t>內部覆蓋狀態</t>
        </is>
      </c>
      <c r="B14" t="inlineStr">
        <is>
          <t>數量</t>
        </is>
      </c>
    </row>
    <row r="15">
      <c r="A15" t="inlineStr">
        <is>
          <t>🔵 NotebookLM 可挖</t>
        </is>
      </c>
      <c r="B15" t="n">
        <v>5</v>
      </c>
    </row>
    <row r="16">
      <c r="A16" t="inlineStr">
        <is>
          <t>🟡 部分覆蓋</t>
        </is>
      </c>
      <c r="B16" t="n">
        <v>12</v>
      </c>
    </row>
    <row r="17">
      <c r="A17" t="inlineStr">
        <is>
          <t>🔴 必須外問</t>
        </is>
      </c>
      <c r="B17" t="n">
        <v>19</v>
      </c>
    </row>
    <row r="19">
      <c r="A19" t="inlineStr">
        <is>
          <t>生成日期</t>
        </is>
      </c>
      <c r="B19" t="inlineStr">
        <is>
          <t>2026-05-14</t>
        </is>
      </c>
    </row>
    <row r="20">
      <c r="A20" t="inlineStr">
        <is>
          <t>建議用法</t>
        </is>
      </c>
      <c r="B20" t="inlineStr">
        <is>
          <t>先做 🟢 已答 + 🔵 NotebookLM 可挖,共 15 項可立即省時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2026-05-14T01:18:01Z</dcterms:created>
  <dcterms:modified xmlns:dcterms="http://purl.org/dc/terms/" xmlns:xsi="http://www.w3.org/2001/XMLSchema-instance" xsi:type="dcterms:W3CDTF">2026-05-18T00:36:03Z</dcterms:modified>
</cp:coreProperties>
</file>